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SESMT1\Desktop\"/>
    </mc:Choice>
  </mc:AlternateContent>
  <xr:revisionPtr revIDLastSave="0" documentId="13_ncr:1_{616D48FE-773C-4EDD-B00F-DD47E472FAAB}" xr6:coauthVersionLast="47" xr6:coauthVersionMax="47" xr10:uidLastSave="{00000000-0000-0000-0000-000000000000}"/>
  <bookViews>
    <workbookView xWindow="28680" yWindow="-120" windowWidth="29040" windowHeight="15720" tabRatio="747" xr2:uid="{00000000-000D-0000-FFFF-FFFF00000000}"/>
  </bookViews>
  <sheets>
    <sheet name="CADASTRO ENGENHARQ" sheetId="20" r:id="rId1"/>
  </sheets>
  <definedNames>
    <definedName name="_xlnm.Print_Area" localSheetId="0">'CADASTRO ENGENHARQ'!$A$1:$O$7</definedName>
    <definedName name="LISTA_FORNECEDORES">INDIRECT("FORNECEDORES[Empresa]")</definedName>
    <definedName name="LISTA_LOJAS">INDIRECT("LOJAS[Loja]")</definedName>
    <definedName name="LISTA_PRODUTOS">INDIRECT("PRODUTO[Item]")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20" l="1"/>
  <c r="P8" i="20" l="1"/>
</calcChain>
</file>

<file path=xl/sharedStrings.xml><?xml version="1.0" encoding="utf-8"?>
<sst xmlns="http://schemas.openxmlformats.org/spreadsheetml/2006/main" count="20" uniqueCount="20">
  <si>
    <t>NOME</t>
  </si>
  <si>
    <t>CPF</t>
  </si>
  <si>
    <t>ADMISSÃO</t>
  </si>
  <si>
    <r>
      <t>CONTROLE DE</t>
    </r>
    <r>
      <rPr>
        <b/>
        <sz val="16"/>
        <color theme="7"/>
        <rFont val="Calibri"/>
        <family val="2"/>
        <scheme val="minor"/>
      </rPr>
      <t xml:space="preserve"> CADASTROS</t>
    </r>
  </si>
  <si>
    <t>DATA DE REALIZAÇÃO</t>
  </si>
  <si>
    <t>CERTIFICADO                   NR 35</t>
  </si>
  <si>
    <t>COMPROVANTE DE ENTREGA                                       NR 35</t>
  </si>
  <si>
    <t>LISTA DE TREINAMENTO                NR 35</t>
  </si>
  <si>
    <t>SETOR</t>
  </si>
  <si>
    <t>MAT.</t>
  </si>
  <si>
    <t>APTIDÃO    ALTURA / ESPAÇO CONFINADO</t>
  </si>
  <si>
    <t>DATA DO ASO</t>
  </si>
  <si>
    <t xml:space="preserve">VALIDADE  </t>
  </si>
  <si>
    <t>AUTORIZAÇÃO</t>
  </si>
  <si>
    <t>OBRA</t>
  </si>
  <si>
    <t>DATA DE NASCIMENTO</t>
  </si>
  <si>
    <t>CONTATO TELEFÔNICO</t>
  </si>
  <si>
    <t>FUNÇÃO INICIAL</t>
  </si>
  <si>
    <t>TAMANHO DE FARDAMENTO</t>
  </si>
  <si>
    <t>Nº DE BOTA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</si>
</sst>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#,##0.00\ &quot;m³&quot;"/>
    <numFmt numFmtId="167" formatCode="dd/mm/yyyy;@"/>
  </numFmts>
  <fonts count="20" x14ac:knownFonts="1"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7"/>
      <name val="Calibri"/>
      <family val="2"/>
      <scheme val="minor"/>
    </font>
    <font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</font>
    <font>
      <sz val="8"/>
      <name val="Calibri"/>
      <family val="2"/>
      <scheme val="minor"/>
    </font>
    <font>
      <sz val="9"/>
      <color theme="1"/>
      <name val="Calibri"/>
      <family val="2"/>
    </font>
    <font>
      <b/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83D3B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2" borderId="0" xfId="0" applyFont="1" applyFill="1"/>
    <xf numFmtId="0" fontId="2" fillId="3" borderId="0" xfId="0" applyFont="1" applyFill="1"/>
    <xf numFmtId="0" fontId="3" fillId="0" borderId="0" xfId="0" applyFont="1" applyAlignment="1">
      <alignment horizontal="centerContinuous"/>
    </xf>
    <xf numFmtId="0" fontId="2" fillId="0" borderId="0" xfId="0" applyFont="1"/>
    <xf numFmtId="0" fontId="4" fillId="4" borderId="3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2" fillId="0" borderId="0" xfId="0" applyFont="1" applyAlignment="1">
      <alignment horizontal="centerContinuous"/>
    </xf>
    <xf numFmtId="0" fontId="4" fillId="5" borderId="2" xfId="0" applyFont="1" applyFill="1" applyBorder="1" applyAlignment="1">
      <alignment horizontal="center" vertical="center" wrapText="1"/>
    </xf>
    <xf numFmtId="14" fontId="2" fillId="3" borderId="0" xfId="0" applyNumberFormat="1" applyFont="1" applyFill="1"/>
    <xf numFmtId="14" fontId="2" fillId="0" borderId="0" xfId="0" applyNumberFormat="1" applyFont="1"/>
    <xf numFmtId="14" fontId="7" fillId="0" borderId="1" xfId="0" applyNumberFormat="1" applyFont="1" applyBorder="1" applyAlignment="1">
      <alignment horizontal="left" vertical="center" wrapText="1"/>
    </xf>
    <xf numFmtId="165" fontId="11" fillId="0" borderId="1" xfId="0" applyNumberFormat="1" applyFont="1" applyBorder="1" applyAlignment="1">
      <alignment horizontal="center" vertical="center"/>
    </xf>
    <xf numFmtId="14" fontId="2" fillId="2" borderId="0" xfId="0" applyNumberFormat="1" applyFont="1" applyFill="1"/>
    <xf numFmtId="14" fontId="11" fillId="0" borderId="1" xfId="0" applyNumberFormat="1" applyFont="1" applyBorder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 wrapText="1"/>
    </xf>
    <xf numFmtId="167" fontId="13" fillId="0" borderId="1" xfId="0" applyNumberFormat="1" applyFont="1" applyBorder="1" applyAlignment="1">
      <alignment horizontal="center" vertical="center" shrinkToFit="1"/>
    </xf>
    <xf numFmtId="14" fontId="15" fillId="0" borderId="1" xfId="0" applyNumberFormat="1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0" fontId="2" fillId="2" borderId="0" xfId="0" applyFont="1" applyFill="1" applyAlignment="1">
      <alignment horizontal="left"/>
    </xf>
    <xf numFmtId="165" fontId="16" fillId="0" borderId="1" xfId="0" applyNumberFormat="1" applyFont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4" fontId="4" fillId="4" borderId="2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 wrapText="1"/>
    </xf>
    <xf numFmtId="0" fontId="2" fillId="3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5" fontId="2" fillId="0" borderId="1" xfId="0" applyNumberFormat="1" applyFont="1" applyBorder="1" applyAlignment="1">
      <alignment horizontal="center" vertical="center" wrapText="1"/>
    </xf>
    <xf numFmtId="165" fontId="11" fillId="0" borderId="5" xfId="0" applyNumberFormat="1" applyFont="1" applyBorder="1" applyAlignment="1">
      <alignment horizontal="center" vertical="center"/>
    </xf>
    <xf numFmtId="165" fontId="18" fillId="0" borderId="1" xfId="0" applyNumberFormat="1" applyFont="1" applyBorder="1" applyAlignment="1">
      <alignment horizontal="center" vertical="center"/>
    </xf>
    <xf numFmtId="165" fontId="18" fillId="0" borderId="2" xfId="0" applyNumberFormat="1" applyFont="1" applyBorder="1" applyAlignment="1">
      <alignment horizontal="center" vertical="center"/>
    </xf>
    <xf numFmtId="14" fontId="2" fillId="0" borderId="0" xfId="0" applyNumberFormat="1" applyFont="1" applyAlignment="1">
      <alignment horizontal="centerContinuous"/>
    </xf>
    <xf numFmtId="14" fontId="4" fillId="5" borderId="2" xfId="0" applyNumberFormat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14" fillId="0" borderId="1" xfId="0" applyNumberFormat="1" applyFont="1" applyBorder="1" applyAlignment="1">
      <alignment horizontal="center" vertical="center" wrapText="1"/>
    </xf>
    <xf numFmtId="14" fontId="8" fillId="0" borderId="1" xfId="0" applyNumberFormat="1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shrinkToFit="1"/>
    </xf>
    <xf numFmtId="167" fontId="9" fillId="0" borderId="1" xfId="0" applyNumberFormat="1" applyFont="1" applyBorder="1" applyAlignment="1">
      <alignment horizontal="center" vertical="center" shrinkToFit="1"/>
    </xf>
    <xf numFmtId="14" fontId="10" fillId="0" borderId="1" xfId="0" applyNumberFormat="1" applyFont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shrinkToFit="1"/>
    </xf>
    <xf numFmtId="14" fontId="14" fillId="0" borderId="1" xfId="0" applyNumberFormat="1" applyFont="1" applyBorder="1" applyAlignment="1">
      <alignment horizontal="center" vertical="center" wrapText="1"/>
    </xf>
    <xf numFmtId="165" fontId="15" fillId="0" borderId="5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167" formatCode="dd/mm/yyyy;@"/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167" formatCode="dd/mm/yyyy;@"/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167" formatCode="dd/mm/yyyy;@"/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167" formatCode="dd/mm/yyyy;@"/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5" formatCode="#,##0.00\ &quot;m³&quot;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5" formatCode="#,##0.00\ &quot;m³&quot;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5" formatCode="#,##0.00\ &quot;m³&quot;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5" formatCode="#,##0.00\ &quot;m³&quot;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5" formatCode="#,##0.00\ &quot;m³&quot;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9" formatCode="dd/mm/yyyy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#,##0.00\ &quot;m³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167" formatCode="dd/mm/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colors>
    <mruColors>
      <color rgb="FF996633"/>
      <color rgb="FFFF3399"/>
      <color rgb="FFFF6699"/>
      <color rgb="FFD20606"/>
      <color rgb="FFCCFF33"/>
      <color rgb="FFFF9900"/>
      <color rgb="FF99FF33"/>
      <color rgb="FFFB9037"/>
      <color rgb="FFA50021"/>
      <color rgb="FF69BB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2</xdr:row>
      <xdr:rowOff>0</xdr:rowOff>
    </xdr:from>
    <xdr:to>
      <xdr:col>3</xdr:col>
      <xdr:colOff>285645</xdr:colOff>
      <xdr:row>5</xdr:row>
      <xdr:rowOff>16121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518583"/>
          <a:ext cx="1455480" cy="5531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ADAS1113343" displayName="ENTRADAS1113343" ref="B7:T9" totalsRowShown="0" headerRowDxfId="40" dataDxfId="38" headerRowBorderDxfId="39" tableBorderDxfId="37" totalsRowBorderDxfId="36">
  <autoFilter ref="B7:T9" xr:uid="{00000000-0009-0000-0100-000002000000}"/>
  <tableColumns count="19">
    <tableColumn id="1" xr3:uid="{00000000-0010-0000-0000-000001000000}" name="MAT." dataDxfId="35"/>
    <tableColumn id="2" xr3:uid="{29E6C74E-EF54-4FA9-A8F1-D5BF8557E12F}" name="OBRA" dataDxfId="34"/>
    <tableColumn id="7" xr3:uid="{07FFE4FE-1C5F-4242-8B21-8E0DA28701FC}" name="SETOR" dataDxfId="21"/>
    <tableColumn id="35" xr3:uid="{79480E24-CA59-4127-94FF-30E68450570C}" name="NOME" dataDxfId="33"/>
    <tableColumn id="5" xr3:uid="{00000000-0010-0000-0000-000005000000}" name="FUNÇÃO INICIAL" dataDxfId="32"/>
    <tableColumn id="17" xr3:uid="{00000000-0010-0000-0000-000011000000}" name="CPF" dataDxfId="31"/>
    <tableColumn id="18" xr3:uid="{00000000-0010-0000-0000-000012000000}" name="ADMISSÃO" dataDxfId="30"/>
    <tableColumn id="9" xr3:uid="{C8B0C518-ECC8-474C-82A3-54DAE395624E}" name="DATA DE NASCIMENTO" dataDxfId="20"/>
    <tableColumn id="10" xr3:uid="{C1F9F621-C1AA-4C8B-BA07-84BCC8B87282}" name="CONTATO TELEFÔNICO" dataDxfId="19"/>
    <tableColumn id="12" xr3:uid="{3E5C4BC0-0519-4797-B3F4-FCFC840BFB0B}" name="TAMANHO DE FARDAMENTO" dataDxfId="0"/>
    <tableColumn id="11" xr3:uid="{5C2289D0-170E-48F4-871A-C9A9845DBCEE}" name="Nº DE BOTA" dataDxfId="18"/>
    <tableColumn id="23" xr3:uid="{00000000-0010-0000-0000-000017000000}" name="DATA DO ASO" dataDxfId="29"/>
    <tableColumn id="22" xr3:uid="{00000000-0010-0000-0000-000016000000}" name="APTIDÃO    ALTURA / ESPAÇO CONFINADO" dataDxfId="28"/>
    <tableColumn id="4" xr3:uid="{00000000-0010-0000-0000-000004000000}" name="DATA DE REALIZAÇÃO" dataDxfId="27"/>
    <tableColumn id="30" xr3:uid="{00000000-0010-0000-0000-00001E000000}" name="VALIDADE  " dataDxfId="26">
      <calculatedColumnFormula>IF((O8&gt;0),IF((DAYS360(TODAY(),(O8+730))&lt;1),"VENCIDO",IF((DAYS360(TODAY(),(O8+730))&lt;31),(DAYS360(TODAY(),(O8+730))&amp;" DIAS PARA VENCER"),"VÁLIDO")),"")</calculatedColumnFormula>
    </tableColumn>
    <tableColumn id="31" xr3:uid="{00000000-0010-0000-0000-00001F000000}" name="LISTA DE TREINAMENTO                NR 35" dataDxfId="25"/>
    <tableColumn id="32" xr3:uid="{00000000-0010-0000-0000-000020000000}" name="CERTIFICADO                   NR 35" dataDxfId="24"/>
    <tableColumn id="33" xr3:uid="{00000000-0010-0000-0000-000021000000}" name="COMPROVANTE DE ENTREGA                                       NR 35" dataDxfId="23"/>
    <tableColumn id="6" xr3:uid="{F333A5D8-1AA0-4D2A-8610-071B1849232E}" name="AUTORIZAÇÃO" dataDxfId="22"/>
  </tableColumns>
  <tableStyleInfo name="TableStyleMedium4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pageSetUpPr fitToPage="1"/>
  </sheetPr>
  <dimension ref="A1:T9"/>
  <sheetViews>
    <sheetView showGridLines="0" showZeros="0" tabSelected="1" zoomScale="90" zoomScaleNormal="90" workbookViewId="0">
      <pane xSplit="9" ySplit="7" topLeftCell="J8" activePane="bottomRight" state="frozen"/>
      <selection pane="topRight" activeCell="H1" sqref="H1"/>
      <selection pane="bottomLeft" activeCell="A11" sqref="A11"/>
      <selection pane="bottomRight" activeCell="N34" sqref="N34"/>
    </sheetView>
  </sheetViews>
  <sheetFormatPr defaultColWidth="9.109375" defaultRowHeight="12" x14ac:dyDescent="0.25"/>
  <cols>
    <col min="1" max="1" width="0.88671875" style="5" customWidth="1"/>
    <col min="2" max="2" width="7.6640625" style="27" customWidth="1"/>
    <col min="3" max="4" width="9.33203125" style="27" customWidth="1"/>
    <col min="5" max="5" width="34.6640625" style="31" customWidth="1"/>
    <col min="6" max="6" width="28.6640625" style="5" bestFit="1" customWidth="1"/>
    <col min="7" max="7" width="13.109375" style="27" customWidth="1"/>
    <col min="8" max="12" width="11.6640625" style="5" customWidth="1"/>
    <col min="13" max="13" width="11.6640625" style="11" customWidth="1"/>
    <col min="14" max="14" width="14" style="5" customWidth="1"/>
    <col min="15" max="15" width="11.88671875" style="11" hidden="1" customWidth="1"/>
    <col min="16" max="16" width="17.6640625" style="5" hidden="1" customWidth="1"/>
    <col min="17" max="17" width="12" style="5" hidden="1" customWidth="1"/>
    <col min="18" max="18" width="10.6640625" style="5" hidden="1" customWidth="1"/>
    <col min="19" max="19" width="15.6640625" style="5" hidden="1" customWidth="1"/>
    <col min="20" max="20" width="15.33203125" style="5" hidden="1" customWidth="1"/>
    <col min="21" max="23" width="9.109375" style="5" customWidth="1"/>
    <col min="24" max="16384" width="9.109375" style="5"/>
  </cols>
  <sheetData>
    <row r="1" spans="1:20" s="2" customFormat="1" ht="36.75" customHeight="1" x14ac:dyDescent="0.25">
      <c r="A1" s="20"/>
      <c r="B1" s="7" t="s">
        <v>3</v>
      </c>
      <c r="C1" s="7"/>
      <c r="D1" s="7"/>
      <c r="E1" s="7"/>
      <c r="F1" s="1"/>
      <c r="G1" s="39"/>
      <c r="H1" s="1"/>
      <c r="I1" s="1"/>
      <c r="J1" s="1"/>
      <c r="K1" s="1"/>
      <c r="L1" s="1"/>
      <c r="M1" s="14"/>
      <c r="O1" s="14"/>
    </row>
    <row r="2" spans="1:20" s="3" customFormat="1" ht="3.75" customHeight="1" x14ac:dyDescent="0.25">
      <c r="B2" s="26"/>
      <c r="C2" s="26"/>
      <c r="D2" s="26"/>
      <c r="E2" s="30"/>
      <c r="G2" s="26"/>
      <c r="M2" s="10"/>
      <c r="O2" s="10"/>
    </row>
    <row r="3" spans="1:20" ht="3.75" customHeight="1" x14ac:dyDescent="0.25"/>
    <row r="4" spans="1:20" ht="15" customHeight="1" x14ac:dyDescent="0.25"/>
    <row r="5" spans="1:20" ht="24" customHeight="1" x14ac:dyDescent="0.25">
      <c r="B5" s="28"/>
      <c r="C5" s="28"/>
      <c r="D5" s="28"/>
      <c r="E5" s="32"/>
      <c r="F5" s="4"/>
      <c r="G5" s="28"/>
      <c r="H5" s="4"/>
      <c r="I5" s="4"/>
      <c r="J5" s="4"/>
      <c r="K5" s="4"/>
      <c r="L5" s="4"/>
      <c r="M5" s="37">
        <v>0</v>
      </c>
      <c r="N5" s="8"/>
    </row>
    <row r="6" spans="1:20" ht="3" customHeight="1" x14ac:dyDescent="0.25">
      <c r="B6" s="28"/>
      <c r="C6" s="28"/>
      <c r="D6" s="28"/>
      <c r="E6" s="32"/>
      <c r="F6" s="4"/>
      <c r="G6" s="28"/>
      <c r="H6" s="4"/>
      <c r="I6" s="4"/>
      <c r="J6" s="4"/>
      <c r="K6" s="4"/>
      <c r="L6" s="4"/>
      <c r="M6" s="37"/>
      <c r="N6" s="8"/>
    </row>
    <row r="7" spans="1:20" ht="43.5" customHeight="1" x14ac:dyDescent="0.25">
      <c r="B7" s="6" t="s">
        <v>9</v>
      </c>
      <c r="C7" s="6" t="s">
        <v>14</v>
      </c>
      <c r="D7" s="6" t="s">
        <v>8</v>
      </c>
      <c r="E7" s="41" t="s">
        <v>0</v>
      </c>
      <c r="F7" s="41" t="s">
        <v>17</v>
      </c>
      <c r="G7" s="41" t="s">
        <v>1</v>
      </c>
      <c r="H7" s="41" t="s">
        <v>2</v>
      </c>
      <c r="I7" s="50" t="s">
        <v>15</v>
      </c>
      <c r="J7" s="50" t="s">
        <v>16</v>
      </c>
      <c r="K7" s="50" t="s">
        <v>18</v>
      </c>
      <c r="L7" s="50" t="s">
        <v>19</v>
      </c>
      <c r="M7" s="38" t="s">
        <v>11</v>
      </c>
      <c r="N7" s="9" t="s">
        <v>10</v>
      </c>
      <c r="O7" s="23" t="s">
        <v>4</v>
      </c>
      <c r="P7" s="22" t="s">
        <v>12</v>
      </c>
      <c r="Q7" s="24" t="s">
        <v>7</v>
      </c>
      <c r="R7" s="24" t="s">
        <v>5</v>
      </c>
      <c r="S7" s="25" t="s">
        <v>6</v>
      </c>
      <c r="T7" s="40" t="s">
        <v>13</v>
      </c>
    </row>
    <row r="8" spans="1:20" ht="12" customHeight="1" x14ac:dyDescent="0.25">
      <c r="B8" s="29"/>
      <c r="C8" s="29"/>
      <c r="D8" s="29"/>
      <c r="E8" s="12"/>
      <c r="F8" s="43"/>
      <c r="G8" s="44"/>
      <c r="H8" s="45"/>
      <c r="I8" s="45"/>
      <c r="J8" s="45"/>
      <c r="K8" s="45"/>
      <c r="L8" s="45"/>
      <c r="M8" s="46"/>
      <c r="N8" s="33"/>
      <c r="O8" s="15">
        <v>45689</v>
      </c>
      <c r="P8" s="13" t="str">
        <f t="shared" ref="P8:P9" ca="1" si="0">IF((O8&gt;0),IF((DAYS360(TODAY(),(O8+730))&lt;1),"VENCIDO",IF((DAYS360(TODAY(),(O8+730))&lt;31),(DAYS360(TODAY(),(O8+730))&amp;" DIAS PARA VENCER"),"VÁLIDO")),"")</f>
        <v>VÁLIDO</v>
      </c>
      <c r="Q8" s="13"/>
      <c r="R8" s="13"/>
      <c r="S8" s="34"/>
      <c r="T8" s="36"/>
    </row>
    <row r="9" spans="1:20" ht="12" customHeight="1" x14ac:dyDescent="0.25">
      <c r="B9" s="29"/>
      <c r="C9" s="29"/>
      <c r="D9" s="29"/>
      <c r="E9" s="12"/>
      <c r="F9" s="16"/>
      <c r="G9" s="47"/>
      <c r="H9" s="17"/>
      <c r="I9" s="17"/>
      <c r="J9" s="17"/>
      <c r="K9" s="17"/>
      <c r="L9" s="17"/>
      <c r="M9" s="48"/>
      <c r="N9" s="42"/>
      <c r="O9" s="18"/>
      <c r="P9" s="21" t="str">
        <f t="shared" ca="1" si="0"/>
        <v/>
      </c>
      <c r="Q9" s="19"/>
      <c r="R9" s="19"/>
      <c r="S9" s="49"/>
      <c r="T9" s="35"/>
    </row>
  </sheetData>
  <sheetProtection formatCells="0" formatColumns="0" formatRows="0" insertColumns="0" insertRows="0" insertHyperlinks="0" deleteRows="0" sort="0" autoFilter="0" pivotTables="0"/>
  <phoneticPr fontId="17" type="noConversion"/>
  <conditionalFormatting sqref="F2:L2">
    <cfRule type="containsText" dxfId="17" priority="52" operator="containsText" text="VENCIDO">
      <formula>NOT(ISERROR(SEARCH("VENCIDO",F2)))</formula>
    </cfRule>
    <cfRule type="containsText" dxfId="16" priority="53" operator="containsText" text="VÁLIDO">
      <formula>NOT(ISERROR(SEARCH("VÁLIDO",F2)))</formula>
    </cfRule>
    <cfRule type="containsText" dxfId="15" priority="54" operator="containsText" text="VENCER">
      <formula>NOT(ISERROR(SEARCH("VENCER",F2)))</formula>
    </cfRule>
  </conditionalFormatting>
  <conditionalFormatting sqref="P8:P9">
    <cfRule type="containsText" dxfId="14" priority="34" operator="containsText" text="VENCER">
      <formula>NOT(ISERROR(SEARCH("VENCER",P8)))</formula>
    </cfRule>
    <cfRule type="containsText" dxfId="13" priority="35" operator="containsText" text="VENCIDO">
      <formula>NOT(ISERROR(SEARCH("VENCIDO",P8)))</formula>
    </cfRule>
    <cfRule type="containsText" dxfId="12" priority="36" operator="containsText" text="VÁLIDO">
      <formula>NOT(ISERROR(SEARCH("VÁLIDO",P8)))</formula>
    </cfRule>
  </conditionalFormatting>
  <conditionalFormatting sqref="Q1:T1048576">
    <cfRule type="containsText" dxfId="11" priority="9" operator="containsText" text="N/A">
      <formula>NOT(ISERROR(SEARCH("N/A",Q1)))</formula>
    </cfRule>
    <cfRule type="containsText" dxfId="10" priority="10" operator="containsText" text="PENDENTE">
      <formula>NOT(ISERROR(SEARCH("PENDENTE",Q1)))</formula>
    </cfRule>
    <cfRule type="containsText" dxfId="9" priority="11" operator="containsText" text="OK">
      <formula>NOT(ISERROR(SEARCH("OK",Q1)))</formula>
    </cfRule>
  </conditionalFormatting>
  <conditionalFormatting sqref="C1:D1048576">
    <cfRule type="containsText" dxfId="8" priority="5" operator="containsText" text="INSS">
      <formula>NOT(ISERROR(SEARCH("INSS",C1)))</formula>
    </cfRule>
    <cfRule type="containsText" dxfId="7" priority="6" operator="containsText" text="CASTANHEIRAS">
      <formula>NOT(ISERROR(SEARCH("CASTANHEIRAS",C1)))</formula>
    </cfRule>
    <cfRule type="containsText" dxfId="6" priority="7" operator="containsText" text="JACARANDÁS">
      <formula>NOT(ISERROR(SEARCH("JACARANDÁS",C1)))</formula>
    </cfRule>
    <cfRule type="containsText" dxfId="5" priority="8" operator="containsText" text="FIGUEIRAS">
      <formula>NOT(ISERROR(SEARCH("FIGUEIRAS",C1)))</formula>
    </cfRule>
  </conditionalFormatting>
  <conditionalFormatting sqref="N1:N1048576">
    <cfRule type="containsText" dxfId="4" priority="2" operator="containsText" text="INAPTO">
      <formula>NOT(ISERROR(SEARCH("INAPTO",N1)))</formula>
    </cfRule>
    <cfRule type="containsText" dxfId="3" priority="3" operator="containsText" text="N/A">
      <formula>NOT(ISERROR(SEARCH("N/A",N1)))</formula>
    </cfRule>
    <cfRule type="containsText" dxfId="2" priority="4" operator="containsText" text="APTO">
      <formula>NOT(ISERROR(SEARCH("APTO",N1)))</formula>
    </cfRule>
  </conditionalFormatting>
  <conditionalFormatting sqref="B8:T9">
    <cfRule type="expression" dxfId="1" priority="1">
      <formula>ROW()=CELL("LIN")</formula>
    </cfRule>
  </conditionalFormatting>
  <dataValidations count="4">
    <dataValidation type="list" allowBlank="1" showInputMessage="1" showErrorMessage="1" sqref="Q8:S9" xr:uid="{00000000-0002-0000-0000-000002000000}">
      <formula1>"OK, N/A, PENDENTE"</formula1>
    </dataValidation>
    <dataValidation type="list" allowBlank="1" showInputMessage="1" showErrorMessage="1" sqref="N8:N9" xr:uid="{00000000-0002-0000-0000-000001000000}">
      <formula1>"APTO, INAPTO, N/A"</formula1>
    </dataValidation>
    <dataValidation type="custom" allowBlank="1" showInputMessage="1" showErrorMessage="1" errorTitle="ERRO" error="MATRÍCULA JÁ CADASTRADA." sqref="B8:B1048576" xr:uid="{23E1BD89-2AA5-4449-B7F0-E33E91B15F26}">
      <formula1>COUNTIF($B$8:$B$1048576,B8)=1</formula1>
    </dataValidation>
    <dataValidation allowBlank="1" showInputMessage="1" showErrorMessage="1" errorTitle="ERRO" error="MATRÍCULA JÁ CADASTRADA." sqref="C1:D1048576" xr:uid="{E0C9FF78-76D9-4CE6-A620-9BEAD70B9E33}"/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9" fitToHeight="0" orientation="portrait" horizontalDpi="4294967293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CADASTRO ENGENHARQ</vt:lpstr>
      <vt:lpstr>'CADASTRO ENGENHARQ'!Area_de_impressao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SESMT</dc:creator>
  <cp:lastModifiedBy>obra obra</cp:lastModifiedBy>
  <cp:lastPrinted>2026-09-21T16:25:02Z</cp:lastPrinted>
  <dcterms:created xsi:type="dcterms:W3CDTF">2021-07-05T13:43:42Z</dcterms:created>
  <dcterms:modified xsi:type="dcterms:W3CDTF">2026-10-05T10:21:37Z</dcterms:modified>
</cp:coreProperties>
</file>